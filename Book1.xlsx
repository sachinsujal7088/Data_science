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Excel\excel project\"/>
    </mc:Choice>
  </mc:AlternateContent>
  <xr:revisionPtr revIDLastSave="0" documentId="8_{30642491-6137-42D1-BF3A-B3E85F248075}" xr6:coauthVersionLast="47" xr6:coauthVersionMax="47" xr10:uidLastSave="{00000000-0000-0000-0000-000000000000}"/>
  <bookViews>
    <workbookView xWindow="-108" yWindow="-108" windowWidth="23256" windowHeight="12456" xr2:uid="{E43F3063-E185-49EC-8B16-27AC1A704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L17" i="1"/>
  <c r="L16" i="1"/>
  <c r="L13" i="1"/>
  <c r="L15" i="1"/>
  <c r="L14" i="1"/>
  <c r="L12" i="1"/>
  <c r="L11" i="1"/>
  <c r="L10" i="1"/>
  <c r="L9" i="1"/>
  <c r="L8" i="1"/>
  <c r="L7" i="1"/>
  <c r="L6" i="1"/>
  <c r="L5" i="1"/>
  <c r="L4" i="1"/>
  <c r="L3" i="1"/>
  <c r="L2" i="1"/>
  <c r="L1" i="1"/>
</calcChain>
</file>

<file path=xl/sharedStrings.xml><?xml version="1.0" encoding="utf-8"?>
<sst xmlns="http://schemas.openxmlformats.org/spreadsheetml/2006/main" count="68" uniqueCount="46">
  <si>
    <t>Patient_ID</t>
  </si>
  <si>
    <t>Name</t>
  </si>
  <si>
    <t>Age</t>
  </si>
  <si>
    <t>Gender</t>
  </si>
  <si>
    <t>Disease</t>
  </si>
  <si>
    <t>Doctor</t>
  </si>
  <si>
    <t>Fees</t>
  </si>
  <si>
    <t>Visit_Date</t>
  </si>
  <si>
    <t>City</t>
  </si>
  <si>
    <t>P101</t>
  </si>
  <si>
    <t>Amit Sharma</t>
  </si>
  <si>
    <t>M</t>
  </si>
  <si>
    <t>Fever</t>
  </si>
  <si>
    <t>Delhi</t>
  </si>
  <si>
    <t>P102</t>
  </si>
  <si>
    <t>Riya Singh</t>
  </si>
  <si>
    <t>F</t>
  </si>
  <si>
    <t>Diabetes</t>
  </si>
  <si>
    <t>Mumbai</t>
  </si>
  <si>
    <t>P103</t>
  </si>
  <si>
    <t>Raj Verma</t>
  </si>
  <si>
    <t>BP</t>
  </si>
  <si>
    <t>P104</t>
  </si>
  <si>
    <t>Neha Gupta</t>
  </si>
  <si>
    <t>Jaipur</t>
  </si>
  <si>
    <t>P105</t>
  </si>
  <si>
    <t>Karan Patel</t>
  </si>
  <si>
    <t>P106</t>
  </si>
  <si>
    <t>Simran Kaur</t>
  </si>
  <si>
    <t>P107</t>
  </si>
  <si>
    <t>Mohit Jain</t>
  </si>
  <si>
    <t>P108</t>
  </si>
  <si>
    <t>Pooja Yadav</t>
  </si>
  <si>
    <t xml:space="preserve">fever using count if formula </t>
  </si>
  <si>
    <t>patients belong to delhi</t>
  </si>
  <si>
    <t>countifs for female patients</t>
  </si>
  <si>
    <t>countif for date</t>
  </si>
  <si>
    <t>sumif for dr khan fees</t>
  </si>
  <si>
    <t>delhi patient fees</t>
  </si>
  <si>
    <t>diabaties patient</t>
  </si>
  <si>
    <t xml:space="preserve">sum if </t>
  </si>
  <si>
    <t>vlookup</t>
  </si>
  <si>
    <t xml:space="preserve">fees </t>
  </si>
  <si>
    <t>Doctor Mehta</t>
  </si>
  <si>
    <t>Doctor Khan</t>
  </si>
  <si>
    <t>Doctor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</si>
</sst>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EDACA2FE-11B0-40BF-BF54-59D147600E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13535-1DA0-4BF6-8CF7-53D3619212C1}" name="Table1" displayName="Table1" ref="A1:I9" totalsRowShown="0" headerRowDxfId="10" dataDxfId="9">
  <autoFilter ref="A1:I9" xr:uid="{72613535-1DA0-4BF6-8CF7-53D3619212C1}"/>
  <tableColumns count="9">
    <tableColumn id="1" xr3:uid="{11CAEE08-14C0-4166-AC14-E8783929B5A9}" name="Patient_ID" dataDxfId="8"/>
    <tableColumn id="2" xr3:uid="{8675F914-926C-42F1-B59E-8391EFDF109A}" name="Name" dataDxfId="7"/>
    <tableColumn id="3" xr3:uid="{60AEE2F7-3FC4-4046-8AD9-202F32248A44}" name="Age" dataDxfId="6"/>
    <tableColumn id="4" xr3:uid="{08B35E19-2968-4EA1-BDC8-9540CB53E0C6}" name="Gender" dataDxfId="5"/>
    <tableColumn id="5" xr3:uid="{CF2335B9-482F-4E68-BF82-2FDDD9E17A8B}" name="Disease" dataDxfId="4"/>
    <tableColumn id="6" xr3:uid="{03D4DB3E-BA63-4BFE-A81A-6CF97654D95D}" name="Doctor" dataDxfId="3"/>
    <tableColumn id="7" xr3:uid="{4CDD36F3-3CF7-4F3A-BDDC-46C49D82EE3A}" name="Fees" dataDxfId="2"/>
    <tableColumn id="8" xr3:uid="{90392B92-5D79-469D-A226-830E99FEAA33}" name="Visit_Date" dataDxfId="1"/>
    <tableColumn id="9" xr3:uid="{00A2DB17-615F-4E82-8AFC-2704251FCB67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9121-67DF-4F19-B0EF-73F95B141536}">
  <dimension ref="A1:M19"/>
  <sheetViews>
    <sheetView tabSelected="1" workbookViewId="0">
      <selection activeCell="L9" sqref="L9"/>
    </sheetView>
  </sheetViews>
  <sheetFormatPr defaultRowHeight="14.4" x14ac:dyDescent="0.3"/>
  <cols>
    <col min="1" max="1" width="11.6640625" customWidth="1"/>
    <col min="4" max="4" width="9" customWidth="1"/>
    <col min="5" max="5" width="9.109375" customWidth="1"/>
    <col min="8" max="8" width="18.33203125" customWidth="1"/>
    <col min="9" max="10" width="16.21875" customWidth="1"/>
    <col min="12" max="12" width="10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>
        <v>1</v>
      </c>
      <c r="L1">
        <f>COUNTIF(Table1[Disease],E5)</f>
        <v>3</v>
      </c>
      <c r="M1" t="s">
        <v>33</v>
      </c>
    </row>
    <row r="2" spans="1:13" ht="28.8" x14ac:dyDescent="0.3">
      <c r="A2" s="2" t="s">
        <v>9</v>
      </c>
      <c r="B2" s="2" t="s">
        <v>10</v>
      </c>
      <c r="C2" s="2">
        <v>34</v>
      </c>
      <c r="D2" s="2" t="s">
        <v>11</v>
      </c>
      <c r="E2" s="2" t="s">
        <v>12</v>
      </c>
      <c r="F2" s="2" t="s">
        <v>43</v>
      </c>
      <c r="G2" s="2">
        <v>500</v>
      </c>
      <c r="H2" s="3">
        <v>46113</v>
      </c>
      <c r="I2" s="2" t="s">
        <v>13</v>
      </c>
      <c r="J2" s="2"/>
      <c r="K2">
        <v>2</v>
      </c>
      <c r="L2">
        <f>COUNTIF(Table1[City],I4)</f>
        <v>4</v>
      </c>
      <c r="M2" t="s">
        <v>34</v>
      </c>
    </row>
    <row r="3" spans="1:13" ht="28.8" x14ac:dyDescent="0.3">
      <c r="A3" s="2" t="s">
        <v>14</v>
      </c>
      <c r="B3" s="2" t="s">
        <v>15</v>
      </c>
      <c r="C3" s="2">
        <v>28</v>
      </c>
      <c r="D3" s="2" t="s">
        <v>16</v>
      </c>
      <c r="E3" s="2" t="s">
        <v>17</v>
      </c>
      <c r="F3" s="2" t="s">
        <v>44</v>
      </c>
      <c r="G3" s="2">
        <v>800</v>
      </c>
      <c r="H3" s="3">
        <v>46114</v>
      </c>
      <c r="I3" s="2" t="s">
        <v>18</v>
      </c>
      <c r="J3" s="2"/>
      <c r="K3">
        <v>3</v>
      </c>
      <c r="L3">
        <f>COUNTIFS(Table1[Disease],Table1[[#This Row],[Disease]],Table1[Gender],D5)</f>
        <v>2</v>
      </c>
      <c r="M3" t="s">
        <v>35</v>
      </c>
    </row>
    <row r="4" spans="1:13" ht="28.8" x14ac:dyDescent="0.3">
      <c r="A4" s="2" t="s">
        <v>19</v>
      </c>
      <c r="B4" s="2" t="s">
        <v>20</v>
      </c>
      <c r="C4" s="2">
        <v>45</v>
      </c>
      <c r="D4" s="2" t="s">
        <v>11</v>
      </c>
      <c r="E4" s="2" t="s">
        <v>21</v>
      </c>
      <c r="F4" s="2" t="s">
        <v>43</v>
      </c>
      <c r="G4" s="2">
        <v>700</v>
      </c>
      <c r="H4" s="3">
        <v>46114</v>
      </c>
      <c r="I4" s="2" t="s">
        <v>13</v>
      </c>
      <c r="J4" s="2"/>
      <c r="K4">
        <v>4</v>
      </c>
      <c r="L4">
        <f>COUNTIF(Table1[Visit_Date],Table1[[#This Row],[Visit_Date]])</f>
        <v>2</v>
      </c>
      <c r="M4" t="s">
        <v>36</v>
      </c>
    </row>
    <row r="5" spans="1:13" ht="28.8" x14ac:dyDescent="0.3">
      <c r="A5" s="2" t="s">
        <v>22</v>
      </c>
      <c r="B5" s="2" t="s">
        <v>23</v>
      </c>
      <c r="C5" s="2">
        <v>30</v>
      </c>
      <c r="D5" s="2" t="s">
        <v>16</v>
      </c>
      <c r="E5" s="2" t="s">
        <v>12</v>
      </c>
      <c r="F5" s="2" t="s">
        <v>45</v>
      </c>
      <c r="G5" s="2">
        <v>400</v>
      </c>
      <c r="H5" s="3">
        <v>46115</v>
      </c>
      <c r="I5" s="2" t="s">
        <v>24</v>
      </c>
      <c r="J5" s="2"/>
      <c r="K5">
        <v>5</v>
      </c>
      <c r="L5">
        <f>SUMIF(Table1[Doctor],F3,Table1[Fees])</f>
        <v>2550</v>
      </c>
      <c r="M5" t="s">
        <v>37</v>
      </c>
    </row>
    <row r="6" spans="1:13" ht="28.8" x14ac:dyDescent="0.3">
      <c r="A6" s="2" t="s">
        <v>25</v>
      </c>
      <c r="B6" s="2" t="s">
        <v>26</v>
      </c>
      <c r="C6" s="2">
        <v>50</v>
      </c>
      <c r="D6" s="2" t="s">
        <v>11</v>
      </c>
      <c r="E6" s="2" t="s">
        <v>17</v>
      </c>
      <c r="F6" s="2" t="s">
        <v>44</v>
      </c>
      <c r="G6" s="2">
        <v>900</v>
      </c>
      <c r="H6" s="3">
        <v>46115</v>
      </c>
      <c r="I6" s="2" t="s">
        <v>18</v>
      </c>
      <c r="J6" s="2"/>
      <c r="K6">
        <v>6</v>
      </c>
      <c r="L6">
        <f>SUMIF(Table1[City],I4,Table1[Fees])</f>
        <v>2650</v>
      </c>
      <c r="M6" t="s">
        <v>38</v>
      </c>
    </row>
    <row r="7" spans="1:13" ht="28.8" x14ac:dyDescent="0.3">
      <c r="A7" s="2" t="s">
        <v>27</v>
      </c>
      <c r="B7" s="2" t="s">
        <v>28</v>
      </c>
      <c r="C7" s="2">
        <v>38</v>
      </c>
      <c r="D7" s="2" t="s">
        <v>16</v>
      </c>
      <c r="E7" s="2" t="s">
        <v>21</v>
      </c>
      <c r="F7" s="2" t="s">
        <v>45</v>
      </c>
      <c r="G7" s="2">
        <v>600</v>
      </c>
      <c r="H7" s="3">
        <v>46116</v>
      </c>
      <c r="I7" s="2" t="s">
        <v>13</v>
      </c>
      <c r="J7" s="2"/>
      <c r="K7">
        <v>7</v>
      </c>
      <c r="L7">
        <f>SUMIFS(Table1[Fees],Table1[Disease],E3,Table1[City],I3)</f>
        <v>1700</v>
      </c>
      <c r="M7" t="s">
        <v>39</v>
      </c>
    </row>
    <row r="8" spans="1:13" ht="28.8" x14ac:dyDescent="0.3">
      <c r="A8" s="2" t="s">
        <v>29</v>
      </c>
      <c r="B8" s="2" t="s">
        <v>30</v>
      </c>
      <c r="C8" s="2">
        <v>29</v>
      </c>
      <c r="D8" s="2" t="s">
        <v>11</v>
      </c>
      <c r="E8" s="2" t="s">
        <v>12</v>
      </c>
      <c r="F8" s="2" t="s">
        <v>43</v>
      </c>
      <c r="G8" s="2">
        <v>450</v>
      </c>
      <c r="H8" s="3">
        <v>46116</v>
      </c>
      <c r="I8" s="2" t="s">
        <v>24</v>
      </c>
      <c r="J8" s="2"/>
      <c r="K8">
        <v>8</v>
      </c>
      <c r="L8">
        <f>SUMIF(Table1[Visit_Date],"&gt;03-04-2026",Table1[Fees])</f>
        <v>1900</v>
      </c>
      <c r="M8" t="s">
        <v>40</v>
      </c>
    </row>
    <row r="9" spans="1:13" ht="28.8" x14ac:dyDescent="0.3">
      <c r="A9" s="2" t="s">
        <v>31</v>
      </c>
      <c r="B9" s="2" t="s">
        <v>32</v>
      </c>
      <c r="C9" s="2">
        <v>41</v>
      </c>
      <c r="D9" s="2" t="s">
        <v>16</v>
      </c>
      <c r="E9" s="2" t="s">
        <v>17</v>
      </c>
      <c r="F9" s="2" t="s">
        <v>44</v>
      </c>
      <c r="G9" s="2">
        <v>850</v>
      </c>
      <c r="H9" s="3">
        <v>46117</v>
      </c>
      <c r="I9" s="2" t="s">
        <v>13</v>
      </c>
      <c r="J9" s="2"/>
      <c r="K9">
        <v>9</v>
      </c>
      <c r="L9" t="str">
        <f>VLOOKUP(A7,Table1[#All],6,FALSE)</f>
        <v>Doctor Sharma</v>
      </c>
      <c r="M9" t="s">
        <v>41</v>
      </c>
    </row>
    <row r="10" spans="1:13" x14ac:dyDescent="0.3">
      <c r="K10">
        <v>10</v>
      </c>
      <c r="L10">
        <f>VLOOKUP(B8,Table1[[#All],[Name]:[City]],6,FALSE)</f>
        <v>450</v>
      </c>
      <c r="M10" t="s">
        <v>42</v>
      </c>
    </row>
    <row r="11" spans="1:13" x14ac:dyDescent="0.3">
      <c r="K11">
        <v>11</v>
      </c>
      <c r="L11">
        <f>MATCH(E7,Table1[Disease],0)</f>
        <v>3</v>
      </c>
    </row>
    <row r="12" spans="1:13" x14ac:dyDescent="0.3">
      <c r="K12">
        <v>12</v>
      </c>
      <c r="L12">
        <f>DAY(H2)</f>
        <v>1</v>
      </c>
    </row>
    <row r="13" spans="1:13" x14ac:dyDescent="0.3">
      <c r="K13">
        <v>13</v>
      </c>
      <c r="L13">
        <f>COUNTIF(Table1[Visit_Date],"*H9")</f>
        <v>0</v>
      </c>
    </row>
    <row r="14" spans="1:13" x14ac:dyDescent="0.3">
      <c r="K14">
        <v>14</v>
      </c>
      <c r="L14">
        <f>COUNTIFS(Table1[Visit_Date],"&gt;=H2",Table1[Visit_Date],"&lt;=30-04-2026")</f>
        <v>0</v>
      </c>
    </row>
    <row r="15" spans="1:13" x14ac:dyDescent="0.3">
      <c r="K15">
        <v>15</v>
      </c>
      <c r="L15" t="str">
        <f>_xlfn.CONCAT(B2,"-",I2)</f>
        <v>Amit Sharma-Delhi</v>
      </c>
    </row>
    <row r="16" spans="1:13" x14ac:dyDescent="0.3">
      <c r="K16">
        <v>16</v>
      </c>
      <c r="L16">
        <f>LEN(B2)</f>
        <v>11</v>
      </c>
    </row>
    <row r="17" spans="11:12" x14ac:dyDescent="0.3">
      <c r="K17">
        <v>17</v>
      </c>
      <c r="L17" t="str">
        <f>TRIM(B2)</f>
        <v>Amit Sharma</v>
      </c>
    </row>
    <row r="18" spans="11:12" x14ac:dyDescent="0.3">
      <c r="K18">
        <v>18</v>
      </c>
      <c r="L18" t="s">
        <v>45</v>
      </c>
    </row>
    <row r="19" spans="11:12" x14ac:dyDescent="0.3">
      <c r="K19">
        <v>19</v>
      </c>
      <c r="L19" t="str">
        <f>_xlfn.XLOOKUP(MAX(Table1[Fees]),Table1[Fees],Table1[Name])</f>
        <v>Karan Patel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sachinsujal7088@gmail.com</cp:lastModifiedBy>
  <dcterms:created xsi:type="dcterms:W3CDTF">2026-04-10T05:29:16Z</dcterms:created>
  <dcterms:modified xsi:type="dcterms:W3CDTF">2026-04-10T06:22:45Z</dcterms:modified>
</cp:coreProperties>
</file>